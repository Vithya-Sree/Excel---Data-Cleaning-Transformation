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1"/>
  </bookViews>
  <sheets>
    <sheet name="Original Data" sheetId="2" r:id="rId1"/>
    <sheet name="Final Data" sheetId="1" r:id="rId2"/>
  </sheets>
  <definedNames>
    <definedName name="_xlnm._FilterDatabase" localSheetId="1" hidden="1">'Final Data'!$A$1:$F$35</definedName>
  </definedNames>
  <calcPr calcId="125725"/>
</workbook>
</file>

<file path=xl/calcChain.xml><?xml version="1.0" encoding="utf-8"?>
<calcChain xmlns="http://schemas.openxmlformats.org/spreadsheetml/2006/main">
  <c r="H2" i="1" a="1"/>
  <c r="H2" s="1"/>
  <c r="H3" a="1"/>
  <c r="H3" s="1"/>
  <c r="H4" a="1"/>
  <c r="H4" s="1"/>
  <c r="H5" a="1"/>
  <c r="H5" s="1"/>
  <c r="H6" a="1"/>
  <c r="H6" s="1"/>
  <c r="H7" a="1"/>
  <c r="H7" s="1"/>
  <c r="H8" a="1"/>
  <c r="H8" s="1"/>
  <c r="H9" a="1"/>
  <c r="H9" s="1"/>
  <c r="H10" a="1"/>
  <c r="H10" s="1"/>
  <c r="H11" a="1"/>
  <c r="H11" s="1"/>
  <c r="H12" a="1"/>
  <c r="H12" s="1"/>
  <c r="H13" a="1"/>
  <c r="H13" s="1"/>
  <c r="H14" a="1"/>
  <c r="H14" s="1"/>
  <c r="H15" a="1"/>
  <c r="H15" s="1"/>
  <c r="H16" a="1"/>
  <c r="H16" s="1"/>
  <c r="H17" a="1"/>
  <c r="H17" s="1"/>
  <c r="H18" a="1"/>
  <c r="H18" s="1"/>
  <c r="H19" a="1"/>
  <c r="H19" s="1"/>
  <c r="H20" a="1"/>
  <c r="H20" s="1"/>
  <c r="H21" a="1"/>
  <c r="H21" s="1"/>
  <c r="H22" a="1"/>
  <c r="H22" s="1"/>
  <c r="H23" a="1"/>
  <c r="H23" s="1"/>
  <c r="H24" a="1"/>
  <c r="H24" s="1"/>
  <c r="H25" a="1"/>
  <c r="H25" s="1"/>
  <c r="H26" a="1"/>
  <c r="H26" s="1"/>
  <c r="H27" a="1"/>
  <c r="H27" s="1"/>
  <c r="H28" a="1"/>
  <c r="H28" s="1"/>
  <c r="H29" a="1"/>
  <c r="H29" s="1"/>
  <c r="H30" a="1"/>
  <c r="H30" s="1"/>
  <c r="H31" a="1"/>
  <c r="H31" s="1"/>
  <c r="H32" a="1"/>
  <c r="H32" s="1"/>
  <c r="L33"/>
  <c r="M32" a="1"/>
  <c r="M32" s="1"/>
  <c r="K32"/>
  <c r="J32"/>
  <c r="L32" s="1"/>
  <c r="I32"/>
  <c r="M31" a="1"/>
  <c r="M31" s="1"/>
  <c r="K31"/>
  <c r="J31"/>
  <c r="L31" s="1"/>
  <c r="I31"/>
  <c r="M30" a="1"/>
  <c r="M30" s="1"/>
  <c r="K30"/>
  <c r="J30"/>
  <c r="L30" s="1"/>
  <c r="I30"/>
  <c r="M29" a="1"/>
  <c r="M29" s="1"/>
  <c r="K29"/>
  <c r="J29"/>
  <c r="L29" s="1"/>
  <c r="I29"/>
  <c r="M28" a="1"/>
  <c r="M28" s="1"/>
  <c r="K28"/>
  <c r="J28"/>
  <c r="L28" s="1"/>
  <c r="I28"/>
  <c r="M27" a="1"/>
  <c r="M27" s="1"/>
  <c r="K27"/>
  <c r="J27"/>
  <c r="L27" s="1"/>
  <c r="I27"/>
  <c r="M26" a="1"/>
  <c r="M26" s="1"/>
  <c r="K26"/>
  <c r="J26"/>
  <c r="L26" s="1"/>
  <c r="I26"/>
  <c r="M25" a="1"/>
  <c r="M25" s="1"/>
  <c r="K25"/>
  <c r="J25"/>
  <c r="L25" s="1"/>
  <c r="I25"/>
  <c r="M24" a="1"/>
  <c r="M24" s="1"/>
  <c r="K24"/>
  <c r="J24"/>
  <c r="L24" s="1"/>
  <c r="I24"/>
  <c r="M23" a="1"/>
  <c r="M23" s="1"/>
  <c r="K23"/>
  <c r="J23"/>
  <c r="L23" s="1"/>
  <c r="I23"/>
  <c r="M22" a="1"/>
  <c r="M22" s="1"/>
  <c r="K22"/>
  <c r="J22"/>
  <c r="L22" s="1"/>
  <c r="I22"/>
  <c r="M21" a="1"/>
  <c r="M21" s="1"/>
  <c r="K21"/>
  <c r="J21"/>
  <c r="L21" s="1"/>
  <c r="I21"/>
  <c r="M20" a="1"/>
  <c r="M20" s="1"/>
  <c r="K20"/>
  <c r="J20"/>
  <c r="L20" s="1"/>
  <c r="I20"/>
  <c r="M19" a="1"/>
  <c r="M19" s="1"/>
  <c r="K19"/>
  <c r="J19"/>
  <c r="L19" s="1"/>
  <c r="I19"/>
  <c r="M18" a="1"/>
  <c r="M18" s="1"/>
  <c r="K18"/>
  <c r="J18"/>
  <c r="L18" s="1"/>
  <c r="I18"/>
  <c r="M17" a="1"/>
  <c r="M17" s="1"/>
  <c r="K17"/>
  <c r="J17"/>
  <c r="L17" s="1"/>
  <c r="I17"/>
  <c r="M16" a="1"/>
  <c r="M16" s="1"/>
  <c r="K16"/>
  <c r="J16"/>
  <c r="L16" s="1"/>
  <c r="I16"/>
  <c r="M15" a="1"/>
  <c r="M15" s="1"/>
  <c r="K15"/>
  <c r="J15"/>
  <c r="L15" s="1"/>
  <c r="I15"/>
  <c r="M14" a="1"/>
  <c r="M14" s="1"/>
  <c r="K14"/>
  <c r="J14"/>
  <c r="L14" s="1"/>
  <c r="I14"/>
  <c r="M13" a="1"/>
  <c r="M13" s="1"/>
  <c r="K13"/>
  <c r="J13"/>
  <c r="L13" s="1"/>
  <c r="I13"/>
  <c r="M12" a="1"/>
  <c r="M12" s="1"/>
  <c r="K12"/>
  <c r="J12"/>
  <c r="L12" s="1"/>
  <c r="I12"/>
  <c r="M11" a="1"/>
  <c r="M11" s="1"/>
  <c r="K11"/>
  <c r="J11"/>
  <c r="L11" s="1"/>
  <c r="I11"/>
  <c r="M10" a="1"/>
  <c r="M10" s="1"/>
  <c r="K10"/>
  <c r="J10"/>
  <c r="L10" s="1"/>
  <c r="I10"/>
  <c r="M9" a="1"/>
  <c r="M9" s="1"/>
  <c r="K9"/>
  <c r="J9"/>
  <c r="L9" s="1"/>
  <c r="I9"/>
  <c r="M8" a="1"/>
  <c r="M8" s="1"/>
  <c r="K8"/>
  <c r="J8"/>
  <c r="L8" s="1"/>
  <c r="I8"/>
  <c r="M7" a="1"/>
  <c r="M7" s="1"/>
  <c r="K7"/>
  <c r="J7"/>
  <c r="L7" s="1"/>
  <c r="I7"/>
  <c r="M6" a="1"/>
  <c r="M6" s="1"/>
  <c r="K6"/>
  <c r="J6"/>
  <c r="L6" s="1"/>
  <c r="I6"/>
  <c r="M5" a="1"/>
  <c r="M5" s="1"/>
  <c r="K5"/>
  <c r="J5"/>
  <c r="L5" s="1"/>
  <c r="I5"/>
  <c r="M4" a="1"/>
  <c r="M4" s="1"/>
  <c r="K4"/>
  <c r="J4"/>
  <c r="L4" s="1"/>
  <c r="I4"/>
  <c r="M3" a="1"/>
  <c r="M3" s="1"/>
  <c r="K3"/>
  <c r="J3"/>
  <c r="L3" s="1"/>
  <c r="I3"/>
  <c r="M2" a="1"/>
  <c r="M2" s="1"/>
  <c r="K2"/>
  <c r="J2"/>
  <c r="L2" s="1"/>
  <c r="I2"/>
</calcChain>
</file>

<file path=xl/sharedStrings.xml><?xml version="1.0" encoding="utf-8"?>
<sst xmlns="http://schemas.openxmlformats.org/spreadsheetml/2006/main" count="312" uniqueCount="106">
  <si>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</si>
  <si>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</si>
  <si>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</si>
  <si>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</si>
  <si>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</si>
  <si>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</si>
  <si>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</si>
  <si>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</si>
  <si>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</si>
  <si>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</si>
  <si>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</si>
  <si>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</si>
  <si>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</si>
  <si>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</si>
  <si>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</si>
  <si>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</si>
  <si>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</si>
  <si>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</si>
  <si>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</si>
  <si>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</si>
  <si>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</si>
  <si>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</si>
  <si>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</si>
  <si>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</si>
  <si>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</si>
  <si>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</si>
  <si>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</si>
  <si>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</si>
  <si>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</si>
  <si>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</si>
  <si>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</si>
  <si>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</si>
  <si>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</si>
  <si>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</si>
  <si>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</si>
  <si>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</si>
  <si>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</si>
  <si>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</si>
  <si>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</si>
  <si>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</si>
  <si>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</si>
  <si>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</si>
  <si>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</si>
  <si>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</si>
  <si>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</si>
  <si>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</si>
  <si>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</si>
  <si>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</si>
  <si>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</si>
  <si>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</si>
  <si>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</si>
  <si>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</si>
  <si>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</si>
  <si>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</si>
  <si>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</si>
  <si>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</si>
  <si>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</si>
  <si>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</si>
  <si>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</si>
  <si>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</si>
  <si>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</si>
  <si>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</si>
  <si>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</si>
  <si>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</si>
  <si>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</si>
  <si>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</si>
  <si>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</si>
  <si>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</si>
  <si>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</si>
  <si>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</si>
  <si>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</si>
  <si>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</si>
  <si>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</si>
  <si>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</si>
  <si>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</si>
  <si>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</si>
  <si>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</si>
  <si>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</si>
  <si>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</si>
  <si>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</si>
  <si>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</si>
  <si>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</si>
  <si>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</si>
  <si>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</si>
  <si>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</si>
  <si>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</si>
  <si>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</si>
  <si>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</si>
  <si>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</si>
  <si>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</si>
  <si>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</si>
  <si>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</si>
  <si>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</si>
  <si>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(New)</t>
  </si>
  <si>
    <t>Category (New)</t>
  </si>
  <si>
    <t>Date</t>
  </si>
  <si>
    <t>Country Code</t>
  </si>
  <si>
    <t>Manufacturing Date</t>
  </si>
  <si>
    <t>Product Brand</t>
  </si>
  <si>
    <t>T-Shirt</t>
  </si>
  <si>
    <t>p-Col</t>
  </si>
  <si>
    <t>C-col</t>
  </si>
  <si>
    <t>laptop</t>
  </si>
  <si>
    <t>smartphone</t>
  </si>
  <si>
    <t>Electroni</t>
  </si>
  <si>
    <t>headphones</t>
  </si>
</sst>
</file>

<file path=xl/styles.xml><?xml version="1.0" encoding="utf-8"?>
<styleSheet xmlns="http://schemas.openxmlformats.org/spreadsheetml/2006/main">
  <numFmts count="2">
    <numFmt numFmtId="164" formatCode="[$₹-449]\ #,##0"/>
    <numFmt numFmtId="165" formatCode="[$-409]d\-mmm\-yy;@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</font>
    <font>
      <u/>
      <sz val="12"/>
      <color rgb="FF000000"/>
      <name val="Times New Roman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/>
    <xf numFmtId="0" fontId="2" fillId="3" borderId="0" xfId="0" applyFont="1" applyFill="1"/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NumberFormat="1" applyFont="1"/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2" fillId="3" borderId="0" xfId="0" applyNumberFormat="1" applyFont="1" applyFill="1"/>
    <xf numFmtId="0" fontId="2" fillId="0" borderId="0" xfId="0" applyFont="1" applyAlignment="1"/>
    <xf numFmtId="164" fontId="0" fillId="0" borderId="0" xfId="0" applyNumberFormat="1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0" borderId="0" xfId="0" applyFont="1" applyAlignment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2" fillId="3" borderId="5" xfId="0" applyFont="1" applyFill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numFmt numFmtId="0" formatCode="General"/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₹-449]\ #,##0"/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Table26" displayName="Table26" ref="H1:I32" totalsRowShown="0" headerRowDxfId="12" dataDxfId="11">
  <tableColumns count="2">
    <tableColumn id="3" name="Price (New)" dataDxfId="10">
      <calculatedColumnFormula array="1">IF(D2&lt;&gt;"",D2,MEDIAN(IF($F$2:$F$33=F2,$E$2:$E$33)))</calculatedColumnFormula>
    </tableColumn>
    <tableColumn id="2" name="Category (New)" dataDxfId="9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id="6" name="Table47" displayName="Table47" ref="J1:K32" totalsRowShown="0" headerRowDxfId="8">
  <tableColumns count="2">
    <tableColumn id="1" name="Date" dataDxfId="7">
      <calculatedColumnFormula>LEFT(A2,6)</calculatedColumnFormula>
    </tableColumn>
    <tableColumn id="2" name="Country Code" dataDxfId="6">
      <calculatedColumnFormula>RIGHT(A2,2)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id="7" name="Table58" displayName="Table58" ref="M1:M32" totalsRowShown="0" headerRowDxfId="5" dataDxfId="4">
  <tableColumns count="1">
    <tableColumn id="1" name="Product Brand" dataDxfId="3">
      <calculatedColumnFormula array="1">CONCATENATE(C2," ",B2)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id="8" name="Table79" displayName="Table79" ref="L1:L32" totalsRowShown="0" headerRowDxfId="2" dataDxfId="1">
  <tableColumns count="1">
    <tableColumn id="1" name="Manufacturing Date" dataDxfId="0">
      <calculatedColumnFormula>DATEVALUE(Table47[[#This Row],[Date]])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workbookViewId="0">
      <selection activeCell="F20" sqref="F20"/>
    </sheetView>
  </sheetViews>
  <sheetFormatPr defaultColWidth="12.5703125" defaultRowHeight="15"/>
  <cols>
    <col min="1" max="1" width="12.5703125" style="1"/>
    <col min="2" max="2" width="16" style="1" customWidth="1"/>
    <col min="3" max="3" width="14.42578125" style="1" customWidth="1"/>
    <col min="4" max="14" width="12.5703125" style="1"/>
    <col min="15" max="15" width="20" style="1" bestFit="1" customWidth="1"/>
    <col min="16" max="16384" width="12.5703125" style="1"/>
  </cols>
  <sheetData>
    <row r="1" spans="1:20" ht="15.75" customHeight="1" thickBo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H1" s="20"/>
    </row>
    <row r="2" spans="1:20" ht="15.75" customHeight="1" thickTop="1">
      <c r="A2" s="21" t="s">
        <v>6</v>
      </c>
      <c r="B2" s="21" t="s">
        <v>102</v>
      </c>
      <c r="C2" s="21" t="s">
        <v>7</v>
      </c>
      <c r="D2" s="21">
        <v>1000</v>
      </c>
      <c r="E2" s="21">
        <v>30</v>
      </c>
      <c r="F2" s="22" t="s">
        <v>8</v>
      </c>
      <c r="L2" s="20"/>
    </row>
    <row r="3" spans="1:20" ht="15.75" customHeight="1">
      <c r="A3" s="23" t="s">
        <v>9</v>
      </c>
      <c r="B3" s="23" t="s">
        <v>10</v>
      </c>
      <c r="C3" s="23" t="s">
        <v>11</v>
      </c>
      <c r="D3" s="23">
        <v>80</v>
      </c>
      <c r="E3" s="23">
        <v>15</v>
      </c>
      <c r="F3" s="24" t="s">
        <v>12</v>
      </c>
      <c r="L3" s="20"/>
      <c r="N3" s="25"/>
      <c r="O3" s="25"/>
      <c r="P3" s="25"/>
      <c r="Q3" s="25"/>
      <c r="R3" s="25"/>
      <c r="S3" s="25"/>
      <c r="T3" s="25"/>
    </row>
    <row r="4" spans="1:20" ht="15.75" customHeight="1">
      <c r="A4" s="21" t="s">
        <v>13</v>
      </c>
      <c r="B4" s="21" t="s">
        <v>14</v>
      </c>
      <c r="C4" s="21" t="s">
        <v>15</v>
      </c>
      <c r="D4" s="21">
        <v>130</v>
      </c>
      <c r="E4" s="21">
        <v>40</v>
      </c>
      <c r="F4" s="22" t="s">
        <v>16</v>
      </c>
      <c r="M4" s="25"/>
      <c r="N4" s="26"/>
      <c r="O4" s="25"/>
      <c r="P4" s="25"/>
      <c r="Q4" s="25"/>
      <c r="R4" s="25"/>
      <c r="S4" s="25"/>
      <c r="T4" s="25"/>
    </row>
    <row r="5" spans="1:20" ht="15.75" customHeight="1">
      <c r="A5" s="23" t="s">
        <v>17</v>
      </c>
      <c r="B5" s="23" t="s">
        <v>103</v>
      </c>
      <c r="C5" s="23" t="s">
        <v>18</v>
      </c>
      <c r="D5" s="23">
        <v>900</v>
      </c>
      <c r="E5" s="23">
        <v>25</v>
      </c>
      <c r="F5" s="24" t="s">
        <v>8</v>
      </c>
      <c r="M5" s="25"/>
      <c r="N5" s="27"/>
      <c r="O5" s="25"/>
      <c r="P5" s="25"/>
      <c r="Q5" s="25"/>
      <c r="R5" s="25"/>
      <c r="S5" s="25"/>
      <c r="T5" s="25"/>
    </row>
    <row r="6" spans="1:20" ht="15.75" customHeight="1">
      <c r="A6" s="21" t="s">
        <v>19</v>
      </c>
      <c r="B6" s="21" t="s">
        <v>20</v>
      </c>
      <c r="C6" s="21" t="s">
        <v>21</v>
      </c>
      <c r="D6" s="21">
        <v>70</v>
      </c>
      <c r="E6" s="21">
        <v>20</v>
      </c>
      <c r="F6" s="22"/>
    </row>
    <row r="7" spans="1:20" ht="15.75" customHeight="1">
      <c r="A7" s="23" t="s">
        <v>22</v>
      </c>
      <c r="B7" s="23" t="s">
        <v>23</v>
      </c>
      <c r="C7" s="23" t="s">
        <v>24</v>
      </c>
      <c r="D7" s="23"/>
      <c r="E7" s="23">
        <v>45</v>
      </c>
      <c r="F7" s="24" t="s">
        <v>104</v>
      </c>
    </row>
    <row r="8" spans="1:20" ht="15.75" customHeight="1">
      <c r="A8" s="21" t="s">
        <v>25</v>
      </c>
      <c r="B8" s="21" t="s">
        <v>26</v>
      </c>
      <c r="C8" s="21" t="s">
        <v>27</v>
      </c>
      <c r="D8" s="21">
        <v>30</v>
      </c>
      <c r="E8" s="21">
        <v>5</v>
      </c>
      <c r="F8" s="22" t="s">
        <v>12</v>
      </c>
    </row>
    <row r="9" spans="1:20" ht="15.75" customHeight="1">
      <c r="A9" s="23" t="s">
        <v>28</v>
      </c>
      <c r="B9" s="23" t="s">
        <v>29</v>
      </c>
      <c r="C9" s="23" t="s">
        <v>30</v>
      </c>
      <c r="D9" s="23">
        <v>90</v>
      </c>
      <c r="E9" s="23">
        <v>35</v>
      </c>
      <c r="F9" s="24" t="s">
        <v>16</v>
      </c>
    </row>
    <row r="10" spans="1:20" ht="15.75" customHeight="1">
      <c r="A10" s="21" t="s">
        <v>31</v>
      </c>
      <c r="B10" s="21" t="s">
        <v>32</v>
      </c>
      <c r="C10" s="21" t="s">
        <v>33</v>
      </c>
      <c r="D10" s="21">
        <v>500</v>
      </c>
      <c r="E10" s="21">
        <v>50</v>
      </c>
      <c r="F10" s="22" t="s">
        <v>8</v>
      </c>
    </row>
    <row r="11" spans="1:20" ht="15.75" customHeight="1">
      <c r="A11" s="23" t="s">
        <v>34</v>
      </c>
      <c r="B11" s="23" t="s">
        <v>35</v>
      </c>
      <c r="C11" s="23" t="s">
        <v>36</v>
      </c>
      <c r="D11" s="23">
        <v>130</v>
      </c>
      <c r="E11" s="23">
        <v>10</v>
      </c>
      <c r="F11" s="24" t="s">
        <v>37</v>
      </c>
    </row>
    <row r="12" spans="1:20" ht="15.75" customHeight="1">
      <c r="A12" s="21" t="s">
        <v>38</v>
      </c>
      <c r="B12" s="21" t="s">
        <v>39</v>
      </c>
      <c r="C12" s="21" t="s">
        <v>40</v>
      </c>
      <c r="D12" s="21">
        <v>950</v>
      </c>
      <c r="E12" s="21">
        <v>25</v>
      </c>
      <c r="F12" s="22" t="s">
        <v>8</v>
      </c>
    </row>
    <row r="13" spans="1:20" ht="15.75" customHeight="1">
      <c r="A13" s="23" t="s">
        <v>41</v>
      </c>
      <c r="B13" s="23" t="s">
        <v>10</v>
      </c>
      <c r="C13" s="23" t="s">
        <v>27</v>
      </c>
      <c r="D13" s="23">
        <v>90</v>
      </c>
      <c r="E13" s="23">
        <v>40</v>
      </c>
      <c r="F13" s="24"/>
    </row>
    <row r="14" spans="1:20" ht="15.75" customHeight="1">
      <c r="A14" s="21" t="s">
        <v>42</v>
      </c>
      <c r="B14" s="21" t="s">
        <v>14</v>
      </c>
      <c r="C14" s="21" t="s">
        <v>43</v>
      </c>
      <c r="D14" s="21">
        <v>120</v>
      </c>
      <c r="E14" s="21">
        <v>35</v>
      </c>
      <c r="F14" s="22"/>
    </row>
    <row r="15" spans="1:20" ht="15.75" customHeight="1">
      <c r="A15" s="23" t="s">
        <v>44</v>
      </c>
      <c r="B15" s="23" t="s">
        <v>45</v>
      </c>
      <c r="C15" s="23" t="s">
        <v>46</v>
      </c>
      <c r="D15" s="23">
        <v>150</v>
      </c>
      <c r="E15" s="23">
        <v>15</v>
      </c>
      <c r="F15" s="24" t="s">
        <v>104</v>
      </c>
    </row>
    <row r="16" spans="1:20" ht="15.75" customHeight="1">
      <c r="A16" s="21" t="s">
        <v>47</v>
      </c>
      <c r="B16" s="21" t="s">
        <v>105</v>
      </c>
      <c r="C16" s="21" t="s">
        <v>48</v>
      </c>
      <c r="D16" s="21">
        <v>250</v>
      </c>
      <c r="E16" s="21">
        <v>20</v>
      </c>
      <c r="F16" s="22" t="s">
        <v>104</v>
      </c>
    </row>
    <row r="17" spans="1:6">
      <c r="A17" s="23" t="s">
        <v>49</v>
      </c>
      <c r="B17" s="23" t="s">
        <v>50</v>
      </c>
      <c r="C17" s="23" t="s">
        <v>51</v>
      </c>
      <c r="D17" s="23">
        <v>50</v>
      </c>
      <c r="E17" s="23">
        <v>35</v>
      </c>
      <c r="F17" s="24" t="s">
        <v>52</v>
      </c>
    </row>
    <row r="18" spans="1:6">
      <c r="A18" s="21" t="s">
        <v>53</v>
      </c>
      <c r="B18" s="21" t="s">
        <v>45</v>
      </c>
      <c r="C18" s="21" t="s">
        <v>54</v>
      </c>
      <c r="D18" s="21">
        <v>160</v>
      </c>
      <c r="E18" s="21">
        <v>15</v>
      </c>
      <c r="F18" s="22" t="s">
        <v>104</v>
      </c>
    </row>
    <row r="19" spans="1:6">
      <c r="A19" s="23" t="s">
        <v>55</v>
      </c>
      <c r="B19" s="23" t="s">
        <v>102</v>
      </c>
      <c r="C19" s="23" t="s">
        <v>56</v>
      </c>
      <c r="D19" s="23">
        <v>980</v>
      </c>
      <c r="E19" s="23">
        <v>10</v>
      </c>
      <c r="F19" s="24" t="s">
        <v>8</v>
      </c>
    </row>
    <row r="20" spans="1:6">
      <c r="A20" s="21" t="s">
        <v>57</v>
      </c>
      <c r="B20" s="21" t="s">
        <v>58</v>
      </c>
      <c r="C20" s="21" t="s">
        <v>59</v>
      </c>
      <c r="D20" s="21">
        <v>150</v>
      </c>
      <c r="E20" s="21">
        <v>15</v>
      </c>
      <c r="F20" s="22" t="s">
        <v>12</v>
      </c>
    </row>
    <row r="21" spans="1:6">
      <c r="A21" s="23" t="s">
        <v>60</v>
      </c>
      <c r="B21" s="23" t="s">
        <v>61</v>
      </c>
      <c r="C21" s="23" t="s">
        <v>62</v>
      </c>
      <c r="D21" s="23"/>
      <c r="E21" s="23">
        <v>10</v>
      </c>
      <c r="F21" s="24" t="s">
        <v>37</v>
      </c>
    </row>
    <row r="22" spans="1:6">
      <c r="A22" s="21" t="s">
        <v>63</v>
      </c>
      <c r="B22" s="21" t="s">
        <v>64</v>
      </c>
      <c r="C22" s="21" t="s">
        <v>65</v>
      </c>
      <c r="D22" s="21">
        <v>700</v>
      </c>
      <c r="E22" s="21">
        <v>50</v>
      </c>
      <c r="F22" s="22" t="s">
        <v>8</v>
      </c>
    </row>
    <row r="23" spans="1:6">
      <c r="A23" s="23" t="s">
        <v>66</v>
      </c>
      <c r="B23" s="23" t="s">
        <v>67</v>
      </c>
      <c r="C23" s="23" t="s">
        <v>68</v>
      </c>
      <c r="D23" s="23">
        <v>80</v>
      </c>
      <c r="E23" s="23">
        <v>20</v>
      </c>
      <c r="F23" s="24" t="s">
        <v>16</v>
      </c>
    </row>
    <row r="24" spans="1:6">
      <c r="A24" s="21" t="s">
        <v>69</v>
      </c>
      <c r="B24" s="21" t="s">
        <v>70</v>
      </c>
      <c r="C24" s="21" t="s">
        <v>71</v>
      </c>
      <c r="D24" s="21">
        <v>150</v>
      </c>
      <c r="E24" s="21">
        <v>30</v>
      </c>
      <c r="F24" s="22"/>
    </row>
    <row r="25" spans="1:6">
      <c r="A25" s="23" t="s">
        <v>49</v>
      </c>
      <c r="B25" s="23" t="s">
        <v>50</v>
      </c>
      <c r="C25" s="23" t="s">
        <v>51</v>
      </c>
      <c r="D25" s="23">
        <v>50</v>
      </c>
      <c r="E25" s="23">
        <v>35</v>
      </c>
      <c r="F25" s="24" t="s">
        <v>52</v>
      </c>
    </row>
    <row r="26" spans="1:6">
      <c r="A26" s="21" t="s">
        <v>72</v>
      </c>
      <c r="B26" s="21" t="s">
        <v>73</v>
      </c>
      <c r="C26" s="21" t="s">
        <v>74</v>
      </c>
      <c r="D26" s="21">
        <v>800</v>
      </c>
      <c r="E26" s="21">
        <v>45</v>
      </c>
      <c r="F26" s="22" t="s">
        <v>8</v>
      </c>
    </row>
    <row r="27" spans="1:6">
      <c r="A27" s="23" t="s">
        <v>75</v>
      </c>
      <c r="B27" s="23" t="s">
        <v>58</v>
      </c>
      <c r="C27" s="23" t="s">
        <v>76</v>
      </c>
      <c r="D27" s="23"/>
      <c r="E27" s="23">
        <v>25</v>
      </c>
      <c r="F27" s="24" t="s">
        <v>12</v>
      </c>
    </row>
    <row r="28" spans="1:6">
      <c r="A28" s="21" t="s">
        <v>77</v>
      </c>
      <c r="B28" s="21" t="s">
        <v>29</v>
      </c>
      <c r="C28" s="21" t="s">
        <v>78</v>
      </c>
      <c r="D28" s="21">
        <v>400</v>
      </c>
      <c r="E28" s="21">
        <v>40</v>
      </c>
      <c r="F28" s="22" t="s">
        <v>16</v>
      </c>
    </row>
    <row r="29" spans="1:6">
      <c r="A29" s="23" t="s">
        <v>47</v>
      </c>
      <c r="B29" s="23" t="s">
        <v>105</v>
      </c>
      <c r="C29" s="23" t="s">
        <v>48</v>
      </c>
      <c r="D29" s="23">
        <v>250</v>
      </c>
      <c r="E29" s="23">
        <v>20</v>
      </c>
      <c r="F29" s="24" t="s">
        <v>104</v>
      </c>
    </row>
    <row r="30" spans="1:6">
      <c r="A30" s="21" t="s">
        <v>79</v>
      </c>
      <c r="B30" s="21" t="s">
        <v>80</v>
      </c>
      <c r="C30" s="21" t="s">
        <v>81</v>
      </c>
      <c r="D30" s="21">
        <v>60</v>
      </c>
      <c r="E30" s="21">
        <v>30</v>
      </c>
      <c r="F30" s="22" t="s">
        <v>12</v>
      </c>
    </row>
    <row r="31" spans="1:6">
      <c r="A31" s="23" t="s">
        <v>82</v>
      </c>
      <c r="B31" s="23" t="s">
        <v>83</v>
      </c>
      <c r="C31" s="23" t="s">
        <v>84</v>
      </c>
      <c r="D31" s="23">
        <v>40</v>
      </c>
      <c r="E31" s="23">
        <v>10</v>
      </c>
      <c r="F31" s="24" t="s">
        <v>16</v>
      </c>
    </row>
    <row r="32" spans="1:6">
      <c r="A32" s="21" t="s">
        <v>85</v>
      </c>
      <c r="B32" s="21" t="s">
        <v>70</v>
      </c>
      <c r="C32" s="21" t="s">
        <v>86</v>
      </c>
      <c r="D32" s="21">
        <v>130</v>
      </c>
      <c r="E32" s="21">
        <v>5</v>
      </c>
      <c r="F32" s="22" t="s">
        <v>8</v>
      </c>
    </row>
    <row r="33" spans="1:6">
      <c r="A33" s="23" t="s">
        <v>87</v>
      </c>
      <c r="B33" s="23" t="s">
        <v>88</v>
      </c>
      <c r="C33" s="23" t="s">
        <v>89</v>
      </c>
      <c r="D33" s="23">
        <v>50</v>
      </c>
      <c r="E33" s="23">
        <v>50</v>
      </c>
      <c r="F33" s="24" t="s">
        <v>12</v>
      </c>
    </row>
    <row r="34" spans="1:6">
      <c r="A34" s="21" t="s">
        <v>38</v>
      </c>
      <c r="B34" s="21" t="s">
        <v>39</v>
      </c>
      <c r="C34" s="21" t="s">
        <v>40</v>
      </c>
      <c r="D34" s="21">
        <v>950</v>
      </c>
      <c r="E34" s="21">
        <v>25</v>
      </c>
      <c r="F34" s="22" t="s">
        <v>8</v>
      </c>
    </row>
    <row r="35" spans="1:6">
      <c r="A35" s="28" t="s">
        <v>90</v>
      </c>
      <c r="B35" s="28" t="s">
        <v>91</v>
      </c>
      <c r="C35" s="28" t="s">
        <v>92</v>
      </c>
      <c r="D35" s="28">
        <v>100</v>
      </c>
      <c r="E35" s="28">
        <v>20</v>
      </c>
      <c r="F35" s="2" t="s">
        <v>52</v>
      </c>
    </row>
    <row r="44" spans="1:6">
      <c r="E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5"/>
  <sheetViews>
    <sheetView tabSelected="1" zoomScale="70" zoomScaleNormal="70" workbookViewId="0">
      <selection activeCell="B33" sqref="B33"/>
    </sheetView>
  </sheetViews>
  <sheetFormatPr defaultColWidth="12.5703125" defaultRowHeight="15"/>
  <cols>
    <col min="1" max="1" width="19.5703125" style="1" bestFit="1" customWidth="1"/>
    <col min="2" max="2" width="23.42578125" style="1" bestFit="1" customWidth="1"/>
    <col min="3" max="3" width="21" style="1" bestFit="1" customWidth="1"/>
    <col min="4" max="4" width="17.42578125" style="1" bestFit="1" customWidth="1"/>
    <col min="5" max="5" width="16.85546875" style="14" bestFit="1" customWidth="1"/>
    <col min="6" max="6" width="17.7109375" style="1" bestFit="1" customWidth="1"/>
    <col min="7" max="7" width="12.5703125" style="1"/>
    <col min="8" max="8" width="13.85546875" style="1" bestFit="1" customWidth="1"/>
    <col min="9" max="9" width="17.85546875" style="9" bestFit="1" customWidth="1"/>
    <col min="10" max="10" width="9.28515625" style="9" bestFit="1" customWidth="1"/>
    <col min="11" max="11" width="16" style="9" bestFit="1" customWidth="1"/>
    <col min="12" max="12" width="22.5703125" style="9" bestFit="1" customWidth="1"/>
    <col min="13" max="13" width="24.5703125" style="9" bestFit="1" customWidth="1"/>
    <col min="14" max="14" width="25.5703125" style="9" bestFit="1" customWidth="1"/>
    <col min="15" max="15" width="12.5703125" style="1"/>
    <col min="16" max="16" width="19.7109375" style="1" bestFit="1" customWidth="1"/>
    <col min="17" max="17" width="17.5703125" style="1" bestFit="1" customWidth="1"/>
    <col min="18" max="16384" width="12.5703125" style="1"/>
  </cols>
  <sheetData>
    <row r="1" spans="1:20" ht="15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H1" s="15" t="s">
        <v>93</v>
      </c>
      <c r="I1" s="15" t="s">
        <v>94</v>
      </c>
      <c r="J1" s="15" t="s">
        <v>95</v>
      </c>
      <c r="K1" s="15" t="s">
        <v>96</v>
      </c>
      <c r="L1" s="15" t="s">
        <v>97</v>
      </c>
      <c r="M1" s="15" t="s">
        <v>98</v>
      </c>
      <c r="N1" s="1"/>
    </row>
    <row r="2" spans="1:20" ht="15.75" customHeight="1">
      <c r="A2" s="6" t="s">
        <v>6</v>
      </c>
      <c r="B2" s="6" t="s">
        <v>39</v>
      </c>
      <c r="C2" s="6" t="s">
        <v>7</v>
      </c>
      <c r="D2" s="7">
        <v>1000</v>
      </c>
      <c r="E2" s="6">
        <v>30</v>
      </c>
      <c r="F2" s="6" t="s">
        <v>8</v>
      </c>
      <c r="H2" s="8">
        <f t="array" ref="H2">IF(D2&lt;&gt;"",D2,MEDIAN(IF($F$2:$F$33=F2,$E$2:$E$33)))</f>
        <v>1000</v>
      </c>
      <c r="I2" s="10" t="str">
        <f>IF(F2="",VLOOKUP(B2,#REF!,2,FALSE),F2)</f>
        <v>Electronics</v>
      </c>
      <c r="J2" s="10" t="str">
        <f t="shared" ref="J2:J32" si="0">LEFT(A2,6)</f>
        <v>28-JAN</v>
      </c>
      <c r="K2" s="9" t="str">
        <f t="shared" ref="K2:K32" si="1">RIGHT(A2,2)</f>
        <v>US</v>
      </c>
      <c r="L2" s="11">
        <f>DATEVALUE(Table47[[#This Row],[Date]])</f>
        <v>46050</v>
      </c>
      <c r="M2" s="9" t="str">
        <f t="array" ref="M2">CONCATENATE(C2," ",B2)</f>
        <v>Dell Laptop</v>
      </c>
      <c r="N2" s="1"/>
    </row>
    <row r="3" spans="1:20" ht="15.75" customHeight="1">
      <c r="A3" s="2" t="s">
        <v>9</v>
      </c>
      <c r="B3" s="2" t="s">
        <v>10</v>
      </c>
      <c r="C3" s="2" t="s">
        <v>11</v>
      </c>
      <c r="D3" s="12">
        <v>80</v>
      </c>
      <c r="E3" s="2">
        <v>15</v>
      </c>
      <c r="F3" s="2" t="s">
        <v>12</v>
      </c>
      <c r="H3" s="8">
        <f t="array" ref="H3">IF(D3&lt;&gt;"",D3,MEDIAN(IF($F$2:$F$33=F3,$E$2:$E$33)))</f>
        <v>80</v>
      </c>
      <c r="I3" s="10" t="str">
        <f>IF(F3="",VLOOKUP(B3,#REF!,2,FALSE),F3)</f>
        <v>Fashion</v>
      </c>
      <c r="J3" s="10" t="str">
        <f t="shared" si="0"/>
        <v>15-FEB</v>
      </c>
      <c r="K3" s="9" t="str">
        <f t="shared" si="1"/>
        <v>US</v>
      </c>
      <c r="L3" s="11">
        <f>DATEVALUE(Table47[[#This Row],[Date]])</f>
        <v>46068</v>
      </c>
      <c r="M3" s="9" t="str">
        <f t="array" ref="M3">CONCATENATE(C3," ",B3)</f>
        <v>Nike Sneakers</v>
      </c>
      <c r="N3" s="1"/>
      <c r="Q3" s="13"/>
      <c r="R3" s="13"/>
      <c r="S3" s="13"/>
      <c r="T3" s="13"/>
    </row>
    <row r="4" spans="1:20" ht="15.75" customHeight="1">
      <c r="A4" s="6" t="s">
        <v>13</v>
      </c>
      <c r="B4" s="6" t="s">
        <v>14</v>
      </c>
      <c r="C4" s="6" t="s">
        <v>15</v>
      </c>
      <c r="D4" s="7">
        <v>130</v>
      </c>
      <c r="E4" s="6">
        <v>40</v>
      </c>
      <c r="F4" s="6" t="s">
        <v>16</v>
      </c>
      <c r="H4" s="8">
        <f t="array" ref="H4">IF(D4&lt;&gt;"",D4,MEDIAN(IF($F$2:$F$33=F4,$E$2:$E$33)))</f>
        <v>130</v>
      </c>
      <c r="I4" s="10" t="str">
        <f>IF(F4="",VLOOKUP(B4,#REF!,2,FALSE),F4)</f>
        <v>Kitchen</v>
      </c>
      <c r="J4" s="10" t="str">
        <f t="shared" si="0"/>
        <v>03-MAR</v>
      </c>
      <c r="K4" s="9" t="str">
        <f t="shared" si="1"/>
        <v>US</v>
      </c>
      <c r="L4" s="11">
        <f>DATEVALUE(Table47[[#This Row],[Date]])</f>
        <v>46084</v>
      </c>
      <c r="M4" s="9" t="str">
        <f t="array" ref="M4">CONCATENATE(C4," ",B4)</f>
        <v>Keurig Coffee Maker</v>
      </c>
      <c r="N4" s="1"/>
      <c r="Q4" s="13"/>
      <c r="R4" s="13"/>
      <c r="S4" s="13"/>
      <c r="T4" s="13"/>
    </row>
    <row r="5" spans="1:20" ht="15.75" customHeight="1">
      <c r="A5" s="2" t="s">
        <v>17</v>
      </c>
      <c r="B5" s="2" t="s">
        <v>73</v>
      </c>
      <c r="C5" s="2" t="s">
        <v>18</v>
      </c>
      <c r="D5" s="12">
        <v>900</v>
      </c>
      <c r="E5" s="2">
        <v>25</v>
      </c>
      <c r="F5" s="2" t="s">
        <v>8</v>
      </c>
      <c r="H5" s="8">
        <f t="array" ref="H5">IF(D5&lt;&gt;"",D5,MEDIAN(IF($F$2:$F$33=F5,$E$2:$E$33)))</f>
        <v>900</v>
      </c>
      <c r="I5" s="10" t="str">
        <f>IF(F5="",VLOOKUP(B5,#REF!,2,FALSE),F5)</f>
        <v>Electronics</v>
      </c>
      <c r="J5" s="10" t="str">
        <f t="shared" si="0"/>
        <v>11-APR</v>
      </c>
      <c r="K5" s="9" t="str">
        <f t="shared" si="1"/>
        <v>US</v>
      </c>
      <c r="L5" s="11">
        <f>DATEVALUE(Table47[[#This Row],[Date]])</f>
        <v>46123</v>
      </c>
      <c r="M5" s="9" t="str">
        <f t="array" ref="M5">CONCATENATE(C5," ",B5)</f>
        <v>Samsung Smartphone</v>
      </c>
      <c r="N5" s="1"/>
      <c r="Q5" s="13"/>
      <c r="R5" s="13"/>
      <c r="S5" s="13"/>
      <c r="T5" s="13"/>
    </row>
    <row r="6" spans="1:20" ht="15.75" customHeight="1">
      <c r="A6" s="6" t="s">
        <v>19</v>
      </c>
      <c r="B6" s="6" t="s">
        <v>20</v>
      </c>
      <c r="C6" s="6" t="s">
        <v>21</v>
      </c>
      <c r="D6" s="7">
        <v>70</v>
      </c>
      <c r="E6" s="6">
        <v>20</v>
      </c>
      <c r="F6" s="6"/>
      <c r="H6" s="8">
        <f t="array" ref="H6">IF(D6&lt;&gt;"",D6,MEDIAN(IF($F$2:$F$33=F6,$E$2:$E$33)))</f>
        <v>70</v>
      </c>
      <c r="I6" s="10" t="str">
        <f>IF(F6="",VLOOKUP(B6,#REF!,2,FALSE),F6)</f>
        <v>Accessories</v>
      </c>
      <c r="J6" s="10" t="str">
        <f t="shared" si="0"/>
        <v>22-MAY</v>
      </c>
      <c r="K6" s="9" t="str">
        <f t="shared" si="1"/>
        <v>US</v>
      </c>
      <c r="L6" s="11">
        <f>DATEVALUE(Table47[[#This Row],[Date]])</f>
        <v>46164</v>
      </c>
      <c r="M6" s="9" t="str">
        <f t="array" ref="M6">CONCATENATE(C6," ",B6)</f>
        <v>North Face Backpack</v>
      </c>
      <c r="N6" s="1"/>
    </row>
    <row r="7" spans="1:20" ht="15.75" customHeight="1">
      <c r="A7" s="2" t="s">
        <v>22</v>
      </c>
      <c r="B7" s="2" t="s">
        <v>23</v>
      </c>
      <c r="C7" s="2" t="s">
        <v>24</v>
      </c>
      <c r="D7" s="12"/>
      <c r="E7" s="2">
        <v>45</v>
      </c>
      <c r="F7" s="2" t="s">
        <v>8</v>
      </c>
      <c r="H7" s="8">
        <f t="array" ref="H7">IF(D7&lt;&gt;"",D7,MEDIAN(IF($F$2:$F$33=F7,$E$2:$E$33)))</f>
        <v>25</v>
      </c>
      <c r="I7" s="10" t="str">
        <f>IF(F7="",VLOOKUP(B7,#REF!,2,FALSE),F7)</f>
        <v>Electronics</v>
      </c>
      <c r="J7" s="10" t="str">
        <f t="shared" si="0"/>
        <v>07-JUN</v>
      </c>
      <c r="K7" s="9" t="str">
        <f t="shared" si="1"/>
        <v>UK</v>
      </c>
      <c r="L7" s="11">
        <f>DATEVALUE(Table47[[#This Row],[Date]])</f>
        <v>46180</v>
      </c>
      <c r="M7" s="9" t="str">
        <f t="array" ref="M7">CONCATENATE(C7," ",B7)</f>
        <v>Sony Headphones</v>
      </c>
      <c r="N7" s="1"/>
    </row>
    <row r="8" spans="1:20" ht="15.75" customHeight="1">
      <c r="A8" s="6" t="s">
        <v>25</v>
      </c>
      <c r="B8" s="6" t="s">
        <v>99</v>
      </c>
      <c r="C8" s="6" t="s">
        <v>27</v>
      </c>
      <c r="D8" s="7">
        <v>30</v>
      </c>
      <c r="E8" s="6">
        <v>5</v>
      </c>
      <c r="F8" s="6" t="s">
        <v>12</v>
      </c>
      <c r="H8" s="8">
        <f t="array" ref="H8">IF(D8&lt;&gt;"",D8,MEDIAN(IF($F$2:$F$33=F8,$E$2:$E$33)))</f>
        <v>30</v>
      </c>
      <c r="I8" s="10" t="str">
        <f>IF(F8="",VLOOKUP(B8,#REF!,2,FALSE),F8)</f>
        <v>Fashion</v>
      </c>
      <c r="J8" s="10" t="str">
        <f t="shared" si="0"/>
        <v>19-JUL</v>
      </c>
      <c r="K8" s="9" t="str">
        <f t="shared" si="1"/>
        <v>UK</v>
      </c>
      <c r="L8" s="11">
        <f>DATEVALUE(Table47[[#This Row],[Date]])</f>
        <v>46222</v>
      </c>
      <c r="M8" s="9" t="str">
        <f t="array" ref="M8">CONCATENATE(C8," ",B8)</f>
        <v>Adidas T-Shirt</v>
      </c>
      <c r="N8" s="1"/>
    </row>
    <row r="9" spans="1:20" ht="15.75" customHeight="1">
      <c r="A9" s="2" t="s">
        <v>28</v>
      </c>
      <c r="B9" s="2" t="s">
        <v>29</v>
      </c>
      <c r="C9" s="2" t="s">
        <v>30</v>
      </c>
      <c r="D9" s="12">
        <v>90</v>
      </c>
      <c r="E9" s="2">
        <v>35</v>
      </c>
      <c r="F9" s="2" t="s">
        <v>16</v>
      </c>
      <c r="H9" s="8">
        <f t="array" ref="H9">IF(D9&lt;&gt;"",D9,MEDIAN(IF($F$2:$F$33=F9,$E$2:$E$33)))</f>
        <v>90</v>
      </c>
      <c r="I9" s="10" t="str">
        <f>IF(F9="",VLOOKUP(B9,#REF!,2,FALSE),F9)</f>
        <v>Kitchen</v>
      </c>
      <c r="J9" s="10" t="str">
        <f t="shared" si="0"/>
        <v>23-AUG</v>
      </c>
      <c r="K9" s="9" t="str">
        <f t="shared" si="1"/>
        <v>UK</v>
      </c>
      <c r="L9" s="11">
        <f>DATEVALUE(Table47[[#This Row],[Date]])</f>
        <v>46257</v>
      </c>
      <c r="M9" s="9" t="str">
        <f t="array" ref="M9">CONCATENATE(C9," ",B9)</f>
        <v>Ninja Blender</v>
      </c>
      <c r="N9" s="1"/>
    </row>
    <row r="10" spans="1:20" ht="15.75" customHeight="1">
      <c r="A10" s="6" t="s">
        <v>31</v>
      </c>
      <c r="B10" s="6" t="s">
        <v>32</v>
      </c>
      <c r="C10" s="6" t="s">
        <v>33</v>
      </c>
      <c r="D10" s="7">
        <v>500</v>
      </c>
      <c r="E10" s="6">
        <v>50</v>
      </c>
      <c r="F10" s="6" t="s">
        <v>8</v>
      </c>
      <c r="H10" s="8">
        <f t="array" ref="H10">IF(D10&lt;&gt;"",D10,MEDIAN(IF($F$2:$F$33=F10,$E$2:$E$33)))</f>
        <v>500</v>
      </c>
      <c r="I10" s="10" t="str">
        <f>IF(F10="",VLOOKUP(B10,#REF!,2,FALSE),F10)</f>
        <v>Electronics</v>
      </c>
      <c r="J10" s="10" t="str">
        <f t="shared" si="0"/>
        <v>05-SEP</v>
      </c>
      <c r="K10" s="9" t="str">
        <f t="shared" si="1"/>
        <v>UK</v>
      </c>
      <c r="L10" s="11">
        <f>DATEVALUE(Table47[[#This Row],[Date]])</f>
        <v>46270</v>
      </c>
      <c r="M10" s="9" t="str">
        <f t="array" ref="M10">CONCATENATE(C10," ",B10)</f>
        <v>Apple Tablet</v>
      </c>
      <c r="N10" s="1"/>
    </row>
    <row r="11" spans="1:20" ht="15.75" customHeight="1">
      <c r="A11" s="2" t="s">
        <v>34</v>
      </c>
      <c r="B11" s="2" t="s">
        <v>35</v>
      </c>
      <c r="C11" s="2" t="s">
        <v>36</v>
      </c>
      <c r="D11" s="12">
        <v>130</v>
      </c>
      <c r="E11" s="2">
        <v>10</v>
      </c>
      <c r="F11" s="2" t="s">
        <v>37</v>
      </c>
      <c r="H11" s="8">
        <f t="array" ref="H11">IF(D11&lt;&gt;"",D11,MEDIAN(IF($F$2:$F$33=F11,$E$2:$E$33)))</f>
        <v>130</v>
      </c>
      <c r="I11" s="10" t="str">
        <f>IF(F11="",VLOOKUP(B11,#REF!,2,FALSE),F11)</f>
        <v>Outdoor</v>
      </c>
      <c r="J11" s="10" t="str">
        <f t="shared" si="0"/>
        <v>14-OCT</v>
      </c>
      <c r="K11" s="9" t="str">
        <f t="shared" si="1"/>
        <v>UK</v>
      </c>
      <c r="L11" s="11">
        <f>DATEVALUE(Table47[[#This Row],[Date]])</f>
        <v>46309</v>
      </c>
      <c r="M11" s="9" t="str">
        <f t="array" ref="M11">CONCATENATE(C11," ",B11)</f>
        <v>Timberland Hiking Boots</v>
      </c>
      <c r="N11" s="1"/>
    </row>
    <row r="12" spans="1:20" ht="15.75" customHeight="1">
      <c r="A12" s="6" t="s">
        <v>38</v>
      </c>
      <c r="B12" s="6" t="s">
        <v>39</v>
      </c>
      <c r="C12" s="6" t="s">
        <v>40</v>
      </c>
      <c r="D12" s="7">
        <v>950</v>
      </c>
      <c r="E12" s="6">
        <v>25</v>
      </c>
      <c r="F12" s="6" t="s">
        <v>8</v>
      </c>
      <c r="H12" s="8">
        <f t="array" ref="H12">IF(D12&lt;&gt;"",D12,MEDIAN(IF($F$2:$F$33=F12,$E$2:$E$33)))</f>
        <v>950</v>
      </c>
      <c r="I12" s="10" t="str">
        <f>IF(F12="",VLOOKUP(B12,#REF!,2,FALSE),F12)</f>
        <v>Electronics</v>
      </c>
      <c r="J12" s="10" t="str">
        <f t="shared" si="0"/>
        <v>17-JUN</v>
      </c>
      <c r="K12" s="9" t="str">
        <f t="shared" si="1"/>
        <v>IN</v>
      </c>
      <c r="L12" s="11">
        <f>DATEVALUE(Table47[[#This Row],[Date]])</f>
        <v>46190</v>
      </c>
      <c r="M12" s="9" t="str">
        <f t="array" ref="M12">CONCATENATE(C12," ",B12)</f>
        <v>HP Laptop</v>
      </c>
      <c r="N12" s="1"/>
    </row>
    <row r="13" spans="1:20" ht="15.75" customHeight="1">
      <c r="A13" s="2" t="s">
        <v>41</v>
      </c>
      <c r="B13" s="2" t="s">
        <v>10</v>
      </c>
      <c r="C13" s="2" t="s">
        <v>27</v>
      </c>
      <c r="D13" s="12">
        <v>90</v>
      </c>
      <c r="E13" s="2">
        <v>40</v>
      </c>
      <c r="F13" s="2"/>
      <c r="H13" s="8">
        <f t="array" ref="H13">IF(D13&lt;&gt;"",D13,MEDIAN(IF($F$2:$F$33=F13,$E$2:$E$33)))</f>
        <v>90</v>
      </c>
      <c r="I13" s="10" t="str">
        <f>IF(F13="",VLOOKUP(B13,#REF!,2,FALSE),F13)</f>
        <v>Fashion</v>
      </c>
      <c r="J13" s="10" t="str">
        <f t="shared" si="0"/>
        <v>25-NOV</v>
      </c>
      <c r="K13" s="9" t="str">
        <f t="shared" si="1"/>
        <v>AU</v>
      </c>
      <c r="L13" s="11">
        <f>DATEVALUE(Table47[[#This Row],[Date]])</f>
        <v>46351</v>
      </c>
      <c r="M13" s="9" t="str">
        <f t="array" ref="M13">CONCATENATE(C13," ",B13)</f>
        <v>Adidas Sneakers</v>
      </c>
      <c r="N13" s="1"/>
    </row>
    <row r="14" spans="1:20" ht="15.75" customHeight="1">
      <c r="A14" s="6" t="s">
        <v>42</v>
      </c>
      <c r="B14" s="6" t="s">
        <v>14</v>
      </c>
      <c r="C14" s="6" t="s">
        <v>43</v>
      </c>
      <c r="D14" s="7">
        <v>120</v>
      </c>
      <c r="E14" s="6">
        <v>35</v>
      </c>
      <c r="F14" s="6"/>
      <c r="H14" s="8">
        <f t="array" ref="H14">IF(D14&lt;&gt;"",D14,MEDIAN(IF($F$2:$F$33=F14,$E$2:$E$33)))</f>
        <v>120</v>
      </c>
      <c r="I14" s="10" t="str">
        <f>IF(F14="",VLOOKUP(B14,#REF!,2,FALSE),F14)</f>
        <v>Kitchen</v>
      </c>
      <c r="J14" s="10" t="str">
        <f t="shared" si="0"/>
        <v>08-DEC</v>
      </c>
      <c r="K14" s="9" t="str">
        <f t="shared" si="1"/>
        <v>DE</v>
      </c>
      <c r="L14" s="11">
        <f>DATEVALUE(Table47[[#This Row],[Date]])</f>
        <v>46364</v>
      </c>
      <c r="M14" s="9" t="str">
        <f t="array" ref="M14">CONCATENATE(C14," ",B14)</f>
        <v>Nespresso Coffee Maker</v>
      </c>
      <c r="N14" s="1"/>
    </row>
    <row r="15" spans="1:20" ht="15.75" customHeight="1">
      <c r="A15" s="2" t="s">
        <v>44</v>
      </c>
      <c r="B15" s="2" t="s">
        <v>45</v>
      </c>
      <c r="C15" s="2" t="s">
        <v>46</v>
      </c>
      <c r="D15" s="12">
        <v>150</v>
      </c>
      <c r="E15" s="2">
        <v>15</v>
      </c>
      <c r="F15" s="2" t="s">
        <v>8</v>
      </c>
      <c r="H15" s="8">
        <f t="array" ref="H15">IF(D15&lt;&gt;"",D15,MEDIAN(IF($F$2:$F$33=F15,$E$2:$E$33)))</f>
        <v>150</v>
      </c>
      <c r="I15" s="10" t="str">
        <f>IF(F15="",VLOOKUP(B15,#REF!,2,FALSE),F15)</f>
        <v>Electronics</v>
      </c>
      <c r="J15" s="10" t="str">
        <f t="shared" si="0"/>
        <v>18-FEB</v>
      </c>
      <c r="K15" s="9" t="str">
        <f t="shared" si="1"/>
        <v>CA</v>
      </c>
      <c r="L15" s="11">
        <f>DATEVALUE(Table47[[#This Row],[Date]])</f>
        <v>46071</v>
      </c>
      <c r="M15" s="9" t="str">
        <f t="array" ref="M15">CONCATENATE(C15," ",B15)</f>
        <v>Fitbit Smartwatch</v>
      </c>
      <c r="N15" s="1"/>
    </row>
    <row r="16" spans="1:20" ht="15.75" customHeight="1">
      <c r="A16" s="6" t="s">
        <v>47</v>
      </c>
      <c r="B16" s="6" t="s">
        <v>23</v>
      </c>
      <c r="C16" s="6" t="s">
        <v>48</v>
      </c>
      <c r="D16" s="7">
        <v>250</v>
      </c>
      <c r="E16" s="6">
        <v>20</v>
      </c>
      <c r="F16" s="6" t="s">
        <v>8</v>
      </c>
      <c r="H16" s="8">
        <f t="array" ref="H16">IF(D16&lt;&gt;"",D16,MEDIAN(IF($F$2:$F$33=F16,$E$2:$E$33)))</f>
        <v>250</v>
      </c>
      <c r="I16" s="10" t="str">
        <f>IF(F16="",VLOOKUP(B16,#REF!,2,FALSE),F16)</f>
        <v>Electronics</v>
      </c>
      <c r="J16" s="10" t="str">
        <f t="shared" si="0"/>
        <v>16-APR</v>
      </c>
      <c r="K16" s="9" t="str">
        <f t="shared" si="1"/>
        <v>ES</v>
      </c>
      <c r="L16" s="11">
        <f>DATEVALUE(Table47[[#This Row],[Date]])</f>
        <v>46128</v>
      </c>
      <c r="M16" s="9" t="str">
        <f t="array" ref="M16">CONCATENATE(C16," ",B16)</f>
        <v>Bose Headphones</v>
      </c>
      <c r="N16" s="1"/>
    </row>
    <row r="17" spans="1:14">
      <c r="A17" s="2" t="s">
        <v>49</v>
      </c>
      <c r="B17" s="2" t="s">
        <v>50</v>
      </c>
      <c r="C17" s="2" t="s">
        <v>51</v>
      </c>
      <c r="D17" s="12">
        <v>50</v>
      </c>
      <c r="E17" s="2">
        <v>35</v>
      </c>
      <c r="F17" s="2" t="s">
        <v>52</v>
      </c>
      <c r="H17" s="8">
        <f t="array" ref="H17">IF(D17&lt;&gt;"",D17,MEDIAN(IF($F$2:$F$33=F17,$E$2:$E$33)))</f>
        <v>50</v>
      </c>
      <c r="I17" s="10" t="str">
        <f>IF(F17="",VLOOKUP(B17,#REF!,2,FALSE),F17)</f>
        <v>Accessories</v>
      </c>
      <c r="J17" s="10" t="str">
        <f t="shared" si="0"/>
        <v>21-AUG</v>
      </c>
      <c r="K17" s="9" t="str">
        <f t="shared" si="1"/>
        <v>CA</v>
      </c>
      <c r="L17" s="11">
        <f>DATEVALUE(Table47[[#This Row],[Date]])</f>
        <v>46255</v>
      </c>
      <c r="M17" s="9" t="str">
        <f t="array" ref="M17">CONCATENATE(C17," ",B17)</f>
        <v>Samsonite Laptop Bag</v>
      </c>
      <c r="N17" s="1"/>
    </row>
    <row r="18" spans="1:14">
      <c r="A18" s="6" t="s">
        <v>53</v>
      </c>
      <c r="B18" s="6" t="s">
        <v>45</v>
      </c>
      <c r="C18" s="6" t="s">
        <v>54</v>
      </c>
      <c r="D18" s="7">
        <v>160</v>
      </c>
      <c r="E18" s="6">
        <v>15</v>
      </c>
      <c r="F18" s="6" t="s">
        <v>8</v>
      </c>
      <c r="H18" s="8">
        <f t="array" ref="H18">IF(D18&lt;&gt;"",D18,MEDIAN(IF($F$2:$F$33=F18,$E$2:$E$33)))</f>
        <v>160</v>
      </c>
      <c r="I18" s="10" t="str">
        <f>IF(F18="",VLOOKUP(B18,#REF!,2,FALSE),F18)</f>
        <v>Electronics</v>
      </c>
      <c r="J18" s="10" t="str">
        <f t="shared" si="0"/>
        <v>20-AUG</v>
      </c>
      <c r="K18" s="9" t="str">
        <f t="shared" si="1"/>
        <v>CN</v>
      </c>
      <c r="L18" s="11">
        <f>DATEVALUE(Table47[[#This Row],[Date]])</f>
        <v>46254</v>
      </c>
      <c r="M18" s="9" t="str">
        <f t="array" ref="M18">CONCATENATE(C18," ",B18)</f>
        <v>Huawei Smartwatch</v>
      </c>
      <c r="N18" s="1"/>
    </row>
    <row r="19" spans="1:14">
      <c r="A19" s="2" t="s">
        <v>55</v>
      </c>
      <c r="B19" s="2" t="s">
        <v>39</v>
      </c>
      <c r="C19" s="2" t="s">
        <v>56</v>
      </c>
      <c r="D19" s="12">
        <v>980</v>
      </c>
      <c r="E19" s="2">
        <v>10</v>
      </c>
      <c r="F19" s="2" t="s">
        <v>8</v>
      </c>
      <c r="H19" s="8">
        <f t="array" ref="H19">IF(D19&lt;&gt;"",D19,MEDIAN(IF($F$2:$F$33=F19,$E$2:$E$33)))</f>
        <v>980</v>
      </c>
      <c r="I19" s="10" t="str">
        <f>IF(F19="",VLOOKUP(B19,#REF!,2,FALSE),F19)</f>
        <v>Electronics</v>
      </c>
      <c r="J19" s="10" t="str">
        <f t="shared" si="0"/>
        <v>27-JAN</v>
      </c>
      <c r="K19" s="9" t="str">
        <f t="shared" si="1"/>
        <v>IT</v>
      </c>
      <c r="L19" s="11">
        <f>DATEVALUE(Table47[[#This Row],[Date]])</f>
        <v>46049</v>
      </c>
      <c r="M19" s="9" t="str">
        <f t="array" ref="M19">CONCATENATE(C19," ",B19)</f>
        <v>Asus Laptop</v>
      </c>
      <c r="N19" s="1"/>
    </row>
    <row r="20" spans="1:14">
      <c r="A20" s="6" t="s">
        <v>57</v>
      </c>
      <c r="B20" s="6" t="s">
        <v>58</v>
      </c>
      <c r="C20" s="6" t="s">
        <v>59</v>
      </c>
      <c r="D20" s="7">
        <v>150</v>
      </c>
      <c r="E20" s="6">
        <v>15</v>
      </c>
      <c r="F20" s="6" t="s">
        <v>12</v>
      </c>
      <c r="H20" s="8">
        <f t="array" ref="H20">IF(D20&lt;&gt;"",D20,MEDIAN(IF($F$2:$F$33=F20,$E$2:$E$33)))</f>
        <v>150</v>
      </c>
      <c r="I20" s="10" t="str">
        <f>IF(F20="",VLOOKUP(B20,#REF!,2,FALSE),F20)</f>
        <v>Fashion</v>
      </c>
      <c r="J20" s="10" t="str">
        <f t="shared" si="0"/>
        <v>01-MAR</v>
      </c>
      <c r="K20" s="9" t="str">
        <f t="shared" si="1"/>
        <v>UK</v>
      </c>
      <c r="L20" s="11">
        <f>DATEVALUE(Table47[[#This Row],[Date]])</f>
        <v>46082</v>
      </c>
      <c r="M20" s="9" t="str">
        <f t="array" ref="M20">CONCATENATE(C20," ",B20)</f>
        <v>Oakley Sunglasses</v>
      </c>
      <c r="N20" s="1"/>
    </row>
    <row r="21" spans="1:14">
      <c r="A21" s="2" t="s">
        <v>60</v>
      </c>
      <c r="B21" s="2" t="s">
        <v>61</v>
      </c>
      <c r="C21" s="2" t="s">
        <v>62</v>
      </c>
      <c r="D21" s="12"/>
      <c r="E21" s="2">
        <v>10</v>
      </c>
      <c r="F21" s="2" t="s">
        <v>37</v>
      </c>
      <c r="H21" s="8">
        <f t="array" ref="H21">IF(D21&lt;&gt;"",D21,MEDIAN(IF($F$2:$F$33=F21,$E$2:$E$33)))</f>
        <v>10</v>
      </c>
      <c r="I21" s="10" t="str">
        <f>IF(F21="",VLOOKUP(B21,#REF!,2,FALSE),F21)</f>
        <v>Outdoor</v>
      </c>
      <c r="J21" s="10" t="str">
        <f t="shared" si="0"/>
        <v>14-AUG</v>
      </c>
      <c r="K21" s="9" t="str">
        <f t="shared" si="1"/>
        <v>US</v>
      </c>
      <c r="L21" s="11">
        <f>DATEVALUE(Table47[[#This Row],[Date]])</f>
        <v>46248</v>
      </c>
      <c r="M21" s="9" t="str">
        <f t="array" ref="M21">CONCATENATE(C21," ",B21)</f>
        <v>Coleman Camping Tent</v>
      </c>
      <c r="N21" s="1"/>
    </row>
    <row r="22" spans="1:14">
      <c r="A22" s="6" t="s">
        <v>63</v>
      </c>
      <c r="B22" s="6" t="s">
        <v>64</v>
      </c>
      <c r="C22" s="6" t="s">
        <v>65</v>
      </c>
      <c r="D22" s="7">
        <v>700</v>
      </c>
      <c r="E22" s="6">
        <v>50</v>
      </c>
      <c r="F22" s="6" t="s">
        <v>8</v>
      </c>
      <c r="H22" s="8">
        <f t="array" ref="H22">IF(D22&lt;&gt;"",D22,MEDIAN(IF($F$2:$F$33=F22,$E$2:$E$33)))</f>
        <v>700</v>
      </c>
      <c r="I22" s="10" t="str">
        <f>IF(F22="",VLOOKUP(B22,#REF!,2,FALSE),F22)</f>
        <v>Electronics</v>
      </c>
      <c r="J22" s="10" t="str">
        <f t="shared" si="0"/>
        <v>14-MAY</v>
      </c>
      <c r="K22" s="9" t="str">
        <f t="shared" si="1"/>
        <v>RU</v>
      </c>
      <c r="L22" s="11">
        <f>DATEVALUE(Table47[[#This Row],[Date]])</f>
        <v>46156</v>
      </c>
      <c r="M22" s="9" t="str">
        <f t="array" ref="M22">CONCATENATE(C22," ",B22)</f>
        <v>Nikon Camera</v>
      </c>
      <c r="N22" s="1"/>
    </row>
    <row r="23" spans="1:14">
      <c r="A23" s="2" t="s">
        <v>66</v>
      </c>
      <c r="B23" s="2" t="s">
        <v>67</v>
      </c>
      <c r="C23" s="2" t="s">
        <v>68</v>
      </c>
      <c r="D23" s="12">
        <v>80</v>
      </c>
      <c r="E23" s="2">
        <v>20</v>
      </c>
      <c r="F23" s="2" t="s">
        <v>16</v>
      </c>
      <c r="H23" s="8">
        <f t="array" ref="H23">IF(D23&lt;&gt;"",D23,MEDIAN(IF($F$2:$F$33=F23,$E$2:$E$33)))</f>
        <v>80</v>
      </c>
      <c r="I23" s="10" t="str">
        <f>IF(F23="",VLOOKUP(B23,#REF!,2,FALSE),F23)</f>
        <v>Kitchen</v>
      </c>
      <c r="J23" s="10" t="str">
        <f t="shared" si="0"/>
        <v>09-JAN</v>
      </c>
      <c r="K23" s="9" t="str">
        <f t="shared" si="1"/>
        <v>CA</v>
      </c>
      <c r="L23" s="11">
        <f>DATEVALUE(Table47[[#This Row],[Date]])</f>
        <v>46031</v>
      </c>
      <c r="M23" s="9" t="str">
        <f t="array" ref="M23">CONCATENATE(C23," ",B23)</f>
        <v>Panasonic Microwave</v>
      </c>
      <c r="N23" s="1"/>
    </row>
    <row r="24" spans="1:14">
      <c r="A24" s="6" t="s">
        <v>69</v>
      </c>
      <c r="B24" s="6" t="s">
        <v>70</v>
      </c>
      <c r="C24" s="6" t="s">
        <v>71</v>
      </c>
      <c r="D24" s="7">
        <v>150</v>
      </c>
      <c r="E24" s="6">
        <v>30</v>
      </c>
      <c r="F24" s="6"/>
      <c r="H24" s="8">
        <f t="array" ref="H24">IF(D24&lt;&gt;"",D24,MEDIAN(IF($F$2:$F$33=F24,$E$2:$E$33)))</f>
        <v>150</v>
      </c>
      <c r="I24" s="10" t="str">
        <f>IF(F24="",VLOOKUP(B24,#REF!,2,FALSE),F24)</f>
        <v>Electronics</v>
      </c>
      <c r="J24" s="10" t="str">
        <f t="shared" si="0"/>
        <v>19-JUL</v>
      </c>
      <c r="K24" s="9" t="str">
        <f t="shared" si="1"/>
        <v>BR</v>
      </c>
      <c r="L24" s="11">
        <f>DATEVALUE(Table47[[#This Row],[Date]])</f>
        <v>46222</v>
      </c>
      <c r="M24" s="9" t="str">
        <f t="array" ref="M24">CONCATENATE(C24," ",B24)</f>
        <v>Xiaomi Fitness Tracker</v>
      </c>
      <c r="N24" s="1"/>
    </row>
    <row r="25" spans="1:14">
      <c r="A25" s="6" t="s">
        <v>72</v>
      </c>
      <c r="B25" s="6" t="s">
        <v>73</v>
      </c>
      <c r="C25" s="6" t="s">
        <v>74</v>
      </c>
      <c r="D25" s="7">
        <v>800</v>
      </c>
      <c r="E25" s="6">
        <v>45</v>
      </c>
      <c r="F25" s="6" t="s">
        <v>8</v>
      </c>
      <c r="H25" s="8">
        <f t="array" ref="H25">IF(D25&lt;&gt;"",D25,MEDIAN(IF($F$2:$F$33=F25,$E$2:$E$33)))</f>
        <v>800</v>
      </c>
      <c r="I25" s="10" t="str">
        <f>IF(F25="",VLOOKUP(B25,#REF!,2,FALSE),F25)</f>
        <v>Electronics</v>
      </c>
      <c r="J25" s="10" t="str">
        <f t="shared" si="0"/>
        <v>29-SEP</v>
      </c>
      <c r="K25" s="9" t="str">
        <f t="shared" si="1"/>
        <v>CA</v>
      </c>
      <c r="L25" s="11">
        <f>DATEVALUE(Table47[[#This Row],[Date]])</f>
        <v>46294</v>
      </c>
      <c r="M25" s="9" t="str">
        <f t="array" ref="M25">CONCATENATE(C25," ",B25)</f>
        <v>Google Smartphone</v>
      </c>
      <c r="N25" s="1"/>
    </row>
    <row r="26" spans="1:14">
      <c r="A26" s="2" t="s">
        <v>75</v>
      </c>
      <c r="B26" s="2" t="s">
        <v>58</v>
      </c>
      <c r="C26" s="2" t="s">
        <v>76</v>
      </c>
      <c r="D26" s="12"/>
      <c r="E26" s="2">
        <v>25</v>
      </c>
      <c r="F26" s="2" t="s">
        <v>12</v>
      </c>
      <c r="H26" s="8">
        <f t="array" ref="H26">IF(D26&lt;&gt;"",D26,MEDIAN(IF($F$2:$F$33=F26,$E$2:$E$33)))</f>
        <v>20</v>
      </c>
      <c r="I26" s="10" t="str">
        <f>IF(F26="",VLOOKUP(B26,#REF!,2,FALSE),F26)</f>
        <v>Fashion</v>
      </c>
      <c r="J26" s="10" t="str">
        <f t="shared" si="0"/>
        <v>03-JUN</v>
      </c>
      <c r="K26" s="9" t="str">
        <f t="shared" si="1"/>
        <v>CA</v>
      </c>
      <c r="L26" s="11">
        <f>DATEVALUE(Table47[[#This Row],[Date]])</f>
        <v>46176</v>
      </c>
      <c r="M26" s="9" t="str">
        <f t="array" ref="M26">CONCATENATE(C26," ",B26)</f>
        <v>Ray-Ban Sunglasses</v>
      </c>
      <c r="N26" s="1"/>
    </row>
    <row r="27" spans="1:14">
      <c r="A27" s="6" t="s">
        <v>77</v>
      </c>
      <c r="B27" s="6" t="s">
        <v>29</v>
      </c>
      <c r="C27" s="6" t="s">
        <v>78</v>
      </c>
      <c r="D27" s="7">
        <v>400</v>
      </c>
      <c r="E27" s="6">
        <v>40</v>
      </c>
      <c r="F27" s="6" t="s">
        <v>16</v>
      </c>
      <c r="H27" s="8">
        <f t="array" ref="H27">IF(D27&lt;&gt;"",D27,MEDIAN(IF($F$2:$F$33=F27,$E$2:$E$33)))</f>
        <v>400</v>
      </c>
      <c r="I27" s="10" t="str">
        <f>IF(F27="",VLOOKUP(B27,#REF!,2,FALSE),F27)</f>
        <v>Kitchen</v>
      </c>
      <c r="J27" s="10" t="str">
        <f t="shared" si="0"/>
        <v>11-JUL</v>
      </c>
      <c r="K27" s="9" t="str">
        <f t="shared" si="1"/>
        <v>CA</v>
      </c>
      <c r="L27" s="11">
        <f>DATEVALUE(Table47[[#This Row],[Date]])</f>
        <v>46214</v>
      </c>
      <c r="M27" s="9" t="str">
        <f t="array" ref="M27">CONCATENATE(C27," ",B27)</f>
        <v>Vitamix Blender</v>
      </c>
      <c r="N27" s="1"/>
    </row>
    <row r="28" spans="1:14">
      <c r="A28" s="6" t="s">
        <v>79</v>
      </c>
      <c r="B28" s="6" t="s">
        <v>80</v>
      </c>
      <c r="C28" s="6" t="s">
        <v>81</v>
      </c>
      <c r="D28" s="7">
        <v>60</v>
      </c>
      <c r="E28" s="6">
        <v>30</v>
      </c>
      <c r="F28" s="6" t="s">
        <v>12</v>
      </c>
      <c r="H28" s="8">
        <f t="array" ref="H28">IF(D28&lt;&gt;"",D28,MEDIAN(IF($F$2:$F$33=F28,$E$2:$E$33)))</f>
        <v>60</v>
      </c>
      <c r="I28" s="10" t="str">
        <f>IF(F28="",VLOOKUP(B28,#REF!,2,FALSE),F28)</f>
        <v>Fashion</v>
      </c>
      <c r="J28" s="10" t="str">
        <f t="shared" si="0"/>
        <v>07-MAR</v>
      </c>
      <c r="K28" s="9" t="str">
        <f t="shared" si="1"/>
        <v>CA</v>
      </c>
      <c r="L28" s="11">
        <f>DATEVALUE(Table47[[#This Row],[Date]])</f>
        <v>46088</v>
      </c>
      <c r="M28" s="9" t="str">
        <f t="array" ref="M28">CONCATENATE(C28," ",B28)</f>
        <v>Zara Dress</v>
      </c>
      <c r="N28" s="1"/>
    </row>
    <row r="29" spans="1:14">
      <c r="A29" s="2" t="s">
        <v>82</v>
      </c>
      <c r="B29" s="2" t="s">
        <v>83</v>
      </c>
      <c r="C29" s="2" t="s">
        <v>84</v>
      </c>
      <c r="D29" s="12">
        <v>40</v>
      </c>
      <c r="E29" s="2">
        <v>10</v>
      </c>
      <c r="F29" s="2" t="s">
        <v>16</v>
      </c>
      <c r="H29" s="8">
        <f t="array" ref="H29">IF(D29&lt;&gt;"",D29,MEDIAN(IF($F$2:$F$33=F29,$E$2:$E$33)))</f>
        <v>40</v>
      </c>
      <c r="I29" s="10" t="str">
        <f>IF(F29="",VLOOKUP(B29,#REF!,2,FALSE),F29)</f>
        <v>Kitchen</v>
      </c>
      <c r="J29" s="10" t="str">
        <f t="shared" si="0"/>
        <v>13-APR</v>
      </c>
      <c r="K29" s="9" t="str">
        <f t="shared" si="1"/>
        <v>CA</v>
      </c>
      <c r="L29" s="11">
        <f>DATEVALUE(Table47[[#This Row],[Date]])</f>
        <v>46125</v>
      </c>
      <c r="M29" s="9" t="str">
        <f t="array" ref="M29">CONCATENATE(C29," ",B29)</f>
        <v>Hamilton Toaster</v>
      </c>
      <c r="N29" s="1"/>
    </row>
    <row r="30" spans="1:14">
      <c r="A30" s="6" t="s">
        <v>85</v>
      </c>
      <c r="B30" s="6" t="s">
        <v>70</v>
      </c>
      <c r="C30" s="6" t="s">
        <v>86</v>
      </c>
      <c r="D30" s="7">
        <v>130</v>
      </c>
      <c r="E30" s="6">
        <v>5</v>
      </c>
      <c r="F30" s="6" t="s">
        <v>8</v>
      </c>
      <c r="H30" s="8">
        <f t="array" ref="H30">IF(D30&lt;&gt;"",D30,MEDIAN(IF($F$2:$F$33=F30,$E$2:$E$33)))</f>
        <v>130</v>
      </c>
      <c r="I30" s="10" t="str">
        <f>IF(F30="",VLOOKUP(B30,#REF!,2,FALSE),F30)</f>
        <v>Electronics</v>
      </c>
      <c r="J30" s="10" t="str">
        <f t="shared" si="0"/>
        <v>24-MAY</v>
      </c>
      <c r="K30" s="9" t="str">
        <f t="shared" si="1"/>
        <v>CA</v>
      </c>
      <c r="L30" s="11">
        <f>DATEVALUE(Table47[[#This Row],[Date]])</f>
        <v>46166</v>
      </c>
      <c r="M30" s="9" t="str">
        <f t="array" ref="M30">CONCATENATE(C30," ",B30)</f>
        <v>Garmin Fitness Tracker</v>
      </c>
      <c r="N30" s="1"/>
    </row>
    <row r="31" spans="1:14">
      <c r="A31" s="2" t="s">
        <v>87</v>
      </c>
      <c r="B31" s="2" t="s">
        <v>88</v>
      </c>
      <c r="C31" s="2" t="s">
        <v>89</v>
      </c>
      <c r="D31" s="12">
        <v>50</v>
      </c>
      <c r="E31" s="2">
        <v>50</v>
      </c>
      <c r="F31" s="2" t="s">
        <v>12</v>
      </c>
      <c r="H31" s="8">
        <f t="array" ref="H31">IF(D31&lt;&gt;"",D31,MEDIAN(IF($F$2:$F$33=F31,$E$2:$E$33)))</f>
        <v>50</v>
      </c>
      <c r="I31" s="10" t="str">
        <f>IF(F31="",VLOOKUP(B31,#REF!,2,FALSE),F31)</f>
        <v>Fashion</v>
      </c>
      <c r="J31" s="10" t="str">
        <f t="shared" si="0"/>
        <v>02-DEC</v>
      </c>
      <c r="K31" s="9" t="str">
        <f t="shared" si="1"/>
        <v>CA</v>
      </c>
      <c r="L31" s="11">
        <f>DATEVALUE(Table47[[#This Row],[Date]])</f>
        <v>46358</v>
      </c>
      <c r="M31" s="9" t="str">
        <f t="array" ref="M31">CONCATENATE(C31," ",B31)</f>
        <v>Levi's Jeans</v>
      </c>
      <c r="N31" s="1"/>
    </row>
    <row r="32" spans="1:14">
      <c r="A32" s="2" t="s">
        <v>90</v>
      </c>
      <c r="B32" s="2" t="s">
        <v>91</v>
      </c>
      <c r="C32" s="2" t="s">
        <v>92</v>
      </c>
      <c r="D32" s="12">
        <v>100</v>
      </c>
      <c r="E32" s="2">
        <v>20</v>
      </c>
      <c r="F32" s="2" t="s">
        <v>52</v>
      </c>
      <c r="H32" s="8">
        <f t="array" ref="H32">IF(D32&lt;&gt;"",D32,MEDIAN(IF($F$2:$F$33=F32,$E$2:$E$33)))</f>
        <v>100</v>
      </c>
      <c r="I32" s="10" t="str">
        <f>IF(F32="",VLOOKUP(B32,#REF!,2,FALSE),F32)</f>
        <v>Accessories</v>
      </c>
      <c r="J32" s="10" t="str">
        <f t="shared" si="0"/>
        <v>09-JUL</v>
      </c>
      <c r="K32" s="9" t="str">
        <f t="shared" si="1"/>
        <v>FR</v>
      </c>
      <c r="L32" s="11">
        <f>DATEVALUE(Table47[[#This Row],[Date]])</f>
        <v>46212</v>
      </c>
      <c r="M32" s="9" t="str">
        <f t="array" ref="M32">CONCATENATE(C32," ",B32)</f>
        <v>Casio Watch</v>
      </c>
      <c r="N32" s="1"/>
    </row>
    <row r="33" spans="1:12">
      <c r="L33" s="9" t="str">
        <f t="shared" ref="L33" si="2">RIGHT(A33,2)</f>
        <v/>
      </c>
    </row>
    <row r="35" spans="1:12">
      <c r="A35" s="16" t="s">
        <v>100</v>
      </c>
      <c r="B35" s="16" t="s">
        <v>101</v>
      </c>
      <c r="C35" s="16"/>
    </row>
    <row r="36" spans="1:12">
      <c r="A36" s="17" t="s">
        <v>39</v>
      </c>
      <c r="B36" s="17" t="s">
        <v>8</v>
      </c>
      <c r="C36" s="17"/>
    </row>
    <row r="37" spans="1:12">
      <c r="A37" s="17" t="s">
        <v>73</v>
      </c>
      <c r="B37" s="17" t="s">
        <v>8</v>
      </c>
      <c r="C37" s="17"/>
    </row>
    <row r="38" spans="1:12">
      <c r="A38" s="17" t="s">
        <v>32</v>
      </c>
      <c r="B38" s="17" t="s">
        <v>8</v>
      </c>
      <c r="C38" s="17"/>
    </row>
    <row r="39" spans="1:12">
      <c r="A39" s="17" t="s">
        <v>23</v>
      </c>
      <c r="B39" s="17" t="s">
        <v>8</v>
      </c>
      <c r="C39" s="17"/>
    </row>
    <row r="40" spans="1:12">
      <c r="A40" s="17" t="s">
        <v>64</v>
      </c>
      <c r="B40" s="17" t="s">
        <v>8</v>
      </c>
      <c r="C40" s="17"/>
    </row>
    <row r="41" spans="1:12">
      <c r="A41" s="17" t="s">
        <v>70</v>
      </c>
      <c r="B41" s="17" t="s">
        <v>8</v>
      </c>
      <c r="C41" s="17"/>
    </row>
    <row r="42" spans="1:12">
      <c r="A42" s="17" t="s">
        <v>14</v>
      </c>
      <c r="B42" s="17" t="s">
        <v>16</v>
      </c>
      <c r="C42" s="17"/>
      <c r="F42" s="3"/>
    </row>
    <row r="43" spans="1:12">
      <c r="A43" s="17" t="s">
        <v>29</v>
      </c>
      <c r="B43" s="17" t="s">
        <v>16</v>
      </c>
      <c r="C43" s="17"/>
    </row>
    <row r="44" spans="1:12">
      <c r="A44" s="17" t="s">
        <v>83</v>
      </c>
      <c r="B44" s="17" t="s">
        <v>16</v>
      </c>
      <c r="C44" s="17"/>
    </row>
    <row r="45" spans="1:12">
      <c r="A45" s="17" t="s">
        <v>67</v>
      </c>
      <c r="B45" s="17" t="s">
        <v>16</v>
      </c>
      <c r="C45" s="17"/>
    </row>
    <row r="46" spans="1:12">
      <c r="A46" s="17" t="s">
        <v>88</v>
      </c>
      <c r="B46" s="17" t="s">
        <v>12</v>
      </c>
      <c r="C46" s="17"/>
    </row>
    <row r="47" spans="1:12">
      <c r="A47" s="17" t="s">
        <v>26</v>
      </c>
      <c r="B47" s="17" t="s">
        <v>12</v>
      </c>
      <c r="C47" s="17"/>
    </row>
    <row r="48" spans="1:12">
      <c r="A48" s="17" t="s">
        <v>80</v>
      </c>
      <c r="B48" s="17" t="s">
        <v>12</v>
      </c>
      <c r="C48" s="17"/>
    </row>
    <row r="49" spans="1:3">
      <c r="A49" s="17" t="s">
        <v>10</v>
      </c>
      <c r="B49" s="17" t="s">
        <v>12</v>
      </c>
      <c r="C49" s="17"/>
    </row>
    <row r="50" spans="1:3">
      <c r="A50" s="17" t="s">
        <v>61</v>
      </c>
      <c r="B50" s="17" t="s">
        <v>37</v>
      </c>
      <c r="C50" s="17"/>
    </row>
    <row r="51" spans="1:3">
      <c r="A51" s="17" t="s">
        <v>35</v>
      </c>
      <c r="B51" s="17" t="s">
        <v>37</v>
      </c>
      <c r="C51" s="17"/>
    </row>
    <row r="52" spans="1:3">
      <c r="A52" s="17" t="s">
        <v>20</v>
      </c>
      <c r="B52" s="17" t="s">
        <v>52</v>
      </c>
      <c r="C52" s="17"/>
    </row>
    <row r="53" spans="1:3">
      <c r="A53" s="17" t="s">
        <v>50</v>
      </c>
      <c r="B53" s="17" t="s">
        <v>52</v>
      </c>
      <c r="C53" s="17"/>
    </row>
    <row r="54" spans="1:3">
      <c r="A54" s="17" t="s">
        <v>58</v>
      </c>
      <c r="B54" s="17" t="s">
        <v>52</v>
      </c>
      <c r="C54" s="17"/>
    </row>
    <row r="55" spans="1:3">
      <c r="A55" s="17" t="s">
        <v>91</v>
      </c>
      <c r="B55" s="17" t="s">
        <v>52</v>
      </c>
      <c r="C55" s="17"/>
    </row>
  </sheetData>
  <autoFilter ref="A1:F35"/>
  <conditionalFormatting sqref="F10">
    <cfRule type="containsBlanks" dxfId="20" priority="10">
      <formula>LEN(TRIM(F10))=0</formula>
    </cfRule>
  </conditionalFormatting>
  <conditionalFormatting sqref="B1:C1 A1:A32 A36:A1048576 C36:C1048576 B56:B1048576">
    <cfRule type="duplicateValues" dxfId="19" priority="9"/>
  </conditionalFormatting>
  <conditionalFormatting sqref="A56:C1048576 B1:C1 A1:A32 D35:D1048576">
    <cfRule type="duplicateValues" dxfId="18" priority="7"/>
  </conditionalFormatting>
  <conditionalFormatting sqref="H2:H32">
    <cfRule type="dataBar" priority="6">
      <dataBar>
        <cfvo type="min" val="0"/>
        <cfvo type="max" val="0"/>
        <color rgb="FF008AEF"/>
      </dataBar>
    </cfRule>
  </conditionalFormatting>
  <conditionalFormatting sqref="I2:I32">
    <cfRule type="containsText" dxfId="17" priority="1" operator="containsText" text="Accessories">
      <formula>NOT(ISERROR(SEARCH("Accessories",I2)))</formula>
    </cfRule>
    <cfRule type="containsText" dxfId="16" priority="2" operator="containsText" text="Outdoor">
      <formula>NOT(ISERROR(SEARCH("Outdoor",I2)))</formula>
    </cfRule>
    <cfRule type="containsText" dxfId="15" priority="3" operator="containsText" text="Kitchen">
      <formula>NOT(ISERROR(SEARCH("Kitchen",I2)))</formula>
    </cfRule>
    <cfRule type="containsText" dxfId="14" priority="4" operator="containsText" text="Fashion">
      <formula>NOT(ISERROR(SEARCH("Fashion",I2)))</formula>
    </cfRule>
    <cfRule type="containsText" dxfId="13" priority="5" operator="containsText" text="Electronics">
      <formula>NOT(ISERROR(SEARCH("Electronics",I2)))</formula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Final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2026-06-13T15:56:19Z</dcterms:created>
  <dcterms:modified xsi:type="dcterms:W3CDTF">2026-06-13T18:48:23Z</dcterms:modified>
</cp:coreProperties>
</file>